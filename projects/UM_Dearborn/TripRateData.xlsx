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2a67f5fe5646c26/Documents/GitHub/UM_dearborn_ITESandbox2026/"/>
    </mc:Choice>
  </mc:AlternateContent>
  <xr:revisionPtr revIDLastSave="0" documentId="13_ncr:1_{1E8B0297-635A-4F9C-92DD-0582EFA70447}" xr6:coauthVersionLast="47" xr6:coauthVersionMax="47" xr10:uidLastSave="{00000000-0000-0000-0000-000000000000}"/>
  <bookViews>
    <workbookView xWindow="-120" yWindow="-120" windowWidth="24240" windowHeight="13020" firstSheet="2" activeTab="6" xr2:uid="{00000000-000D-0000-FFFF-FFFF00000000}"/>
  </bookViews>
  <sheets>
    <sheet name="MainCampus" sheetId="1" r:id="rId1"/>
    <sheet name="ShoppingCenter" sheetId="2" r:id="rId2"/>
    <sheet name="StudentHousing" sheetId="3" r:id="rId3"/>
    <sheet name="NorthBoundary" sheetId="4" r:id="rId4"/>
    <sheet name="SouthBoundary" sheetId="5" r:id="rId5"/>
    <sheet name="EastBoundary" sheetId="6" r:id="rId6"/>
    <sheet name="AttractionParameters" sheetId="8" r:id="rId7"/>
    <sheet name="Description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3" l="1"/>
  <c r="E6" i="3"/>
  <c r="D6" i="3"/>
  <c r="G6" i="3" s="1"/>
  <c r="C6" i="3"/>
  <c r="B6" i="3"/>
  <c r="G5" i="3"/>
  <c r="G4" i="3"/>
  <c r="G3" i="3"/>
  <c r="G2" i="3"/>
  <c r="G6" i="1"/>
  <c r="F6" i="1"/>
  <c r="E6" i="1"/>
  <c r="D6" i="1"/>
  <c r="C6" i="1"/>
  <c r="B6" i="1"/>
  <c r="G5" i="1"/>
  <c r="G4" i="1"/>
  <c r="G3" i="1"/>
  <c r="G2" i="1"/>
  <c r="F6" i="2"/>
  <c r="E6" i="2"/>
  <c r="D6" i="2"/>
  <c r="C6" i="2"/>
  <c r="B6" i="2"/>
  <c r="G5" i="2"/>
  <c r="G4" i="2"/>
  <c r="G3" i="2"/>
  <c r="G2" i="2"/>
  <c r="F6" i="6"/>
  <c r="E6" i="6"/>
  <c r="D6" i="6"/>
  <c r="C6" i="6"/>
  <c r="B6" i="6"/>
  <c r="G6" i="6" s="1"/>
  <c r="G5" i="6"/>
  <c r="G4" i="6"/>
  <c r="G3" i="6"/>
  <c r="G2" i="6"/>
  <c r="G6" i="5"/>
  <c r="F6" i="5"/>
  <c r="E6" i="5"/>
  <c r="D6" i="5"/>
  <c r="C6" i="5"/>
  <c r="B6" i="5"/>
  <c r="G5" i="5"/>
  <c r="G4" i="5"/>
  <c r="G3" i="5"/>
  <c r="G2" i="5"/>
  <c r="F6" i="4"/>
  <c r="E6" i="4"/>
  <c r="D6" i="4"/>
  <c r="C6" i="4"/>
  <c r="B6" i="4"/>
  <c r="G5" i="4"/>
  <c r="G4" i="4"/>
  <c r="G3" i="4"/>
  <c r="G2" i="4"/>
  <c r="G6" i="2" l="1"/>
  <c r="G6" i="4"/>
</calcChain>
</file>

<file path=xl/sharedStrings.xml><?xml version="1.0" encoding="utf-8"?>
<sst xmlns="http://schemas.openxmlformats.org/spreadsheetml/2006/main" count="87" uniqueCount="29">
  <si>
    <t>1 Person</t>
  </si>
  <si>
    <t>2 Person</t>
  </si>
  <si>
    <t>3 Person</t>
  </si>
  <si>
    <t>4 Person</t>
  </si>
  <si>
    <t>5 Person</t>
  </si>
  <si>
    <t>Average</t>
  </si>
  <si>
    <t>0 Autos</t>
  </si>
  <si>
    <t>1 Auto</t>
  </si>
  <si>
    <t>2 Autos</t>
  </si>
  <si>
    <t>3+ Autos</t>
  </si>
  <si>
    <t>Number of trips generated per day by the number of persons and autos.</t>
  </si>
  <si>
    <t>Zone</t>
  </si>
  <si>
    <t>Employment [jobs]</t>
  </si>
  <si>
    <t>Enrollment [students]</t>
  </si>
  <si>
    <t>RetailArea [sqft]</t>
  </si>
  <si>
    <t>MainCampus</t>
  </si>
  <si>
    <t>ShoppingCenter</t>
  </si>
  <si>
    <t>StudentHousing</t>
  </si>
  <si>
    <t>NorthBoundary</t>
  </si>
  <si>
    <t>SouthBoundary</t>
  </si>
  <si>
    <t>EastBoundary</t>
  </si>
  <si>
    <t>Land-use data per zone for trip attraction linear model (NCHRP 716). Employment includes all jobs. Enrollment is university students. RetailArea is gross leasable area in sqft.</t>
  </si>
  <si>
    <t>Trip Rate Data Description:</t>
  </si>
  <si>
    <t>Trip Attraction Data Description:</t>
  </si>
  <si>
    <t>Source: Total area measured in Google Maps divided by 2 to only capture retail space</t>
  </si>
  <si>
    <t>Source: UM Dearborn Website</t>
  </si>
  <si>
    <t>Source: 1/5 of Main Campus states to capture the parts of campus located across the street</t>
  </si>
  <si>
    <t>Source: arbitrary; assume more retail area to attract students out and in to the surrounding area</t>
  </si>
  <si>
    <t>Attraction Parameters: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</si>
</sst>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</font>
    <font>
      <b/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sqref="A1:G6"/>
    </sheetView>
  </sheetViews>
  <sheetFormatPr defaultRowHeight="15" x14ac:dyDescent="0.25"/>
  <cols>
    <col min="1" max="1" width="14" customWidth="1"/>
    <col min="2" max="7" width="10" customWidth="1"/>
  </cols>
  <sheetData>
    <row r="1" spans="1:7" ht="20.100000000000001" customHeight="1" x14ac:dyDescent="0.25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3" t="s">
        <v>6</v>
      </c>
      <c r="B2" s="4">
        <v>0.25</v>
      </c>
      <c r="C2" s="4">
        <v>0.5</v>
      </c>
      <c r="D2" s="4">
        <v>0.75</v>
      </c>
      <c r="E2" s="4">
        <v>1</v>
      </c>
      <c r="F2" s="4">
        <v>1.25</v>
      </c>
      <c r="G2" s="5">
        <f>AVERAGE(B2:F2)</f>
        <v>0.75</v>
      </c>
    </row>
    <row r="3" spans="1:7" x14ac:dyDescent="0.25">
      <c r="A3" s="3" t="s">
        <v>7</v>
      </c>
      <c r="B3" s="4">
        <v>0.5</v>
      </c>
      <c r="C3" s="4">
        <v>1</v>
      </c>
      <c r="D3" s="4">
        <v>2</v>
      </c>
      <c r="E3" s="4">
        <v>3</v>
      </c>
      <c r="F3" s="4">
        <v>4</v>
      </c>
      <c r="G3" s="5">
        <f t="shared" ref="G3:G6" si="0">AVERAGE(B3:F3)</f>
        <v>2.1</v>
      </c>
    </row>
    <row r="4" spans="1:7" x14ac:dyDescent="0.25">
      <c r="A4" s="3" t="s">
        <v>8</v>
      </c>
      <c r="B4" s="4">
        <v>0.75</v>
      </c>
      <c r="C4" s="4">
        <v>2</v>
      </c>
      <c r="D4" s="4">
        <v>3</v>
      </c>
      <c r="E4" s="4">
        <v>4</v>
      </c>
      <c r="F4" s="4">
        <v>5</v>
      </c>
      <c r="G4" s="5">
        <f t="shared" si="0"/>
        <v>2.95</v>
      </c>
    </row>
    <row r="5" spans="1:7" x14ac:dyDescent="0.25">
      <c r="A5" s="3" t="s">
        <v>9</v>
      </c>
      <c r="B5" s="4">
        <v>1</v>
      </c>
      <c r="C5" s="4">
        <v>2</v>
      </c>
      <c r="D5" s="4">
        <v>3</v>
      </c>
      <c r="E5" s="4">
        <v>4</v>
      </c>
      <c r="F5" s="4">
        <v>5</v>
      </c>
      <c r="G5" s="5">
        <f t="shared" si="0"/>
        <v>3</v>
      </c>
    </row>
    <row r="6" spans="1:7" x14ac:dyDescent="0.25">
      <c r="A6" s="3" t="s">
        <v>5</v>
      </c>
      <c r="B6" s="5">
        <f>AVERAGE(B2:B5)</f>
        <v>0.625</v>
      </c>
      <c r="C6" s="5">
        <f t="shared" ref="C6:F6" si="1">AVERAGE(C2:C5)</f>
        <v>1.375</v>
      </c>
      <c r="D6" s="5">
        <f t="shared" si="1"/>
        <v>2.1875</v>
      </c>
      <c r="E6" s="5">
        <f t="shared" si="1"/>
        <v>3</v>
      </c>
      <c r="F6" s="5">
        <f t="shared" si="1"/>
        <v>3.8125</v>
      </c>
      <c r="G6" s="5">
        <f t="shared" si="0"/>
        <v>2.2000000000000002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selection activeCell="F9" sqref="F9"/>
    </sheetView>
  </sheetViews>
  <sheetFormatPr defaultRowHeight="15" x14ac:dyDescent="0.25"/>
  <cols>
    <col min="1" max="1" width="14" customWidth="1"/>
    <col min="2" max="7" width="10" customWidth="1"/>
  </cols>
  <sheetData>
    <row r="1" spans="1:7" ht="20.100000000000001" customHeight="1" x14ac:dyDescent="0.25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3" t="s">
        <v>6</v>
      </c>
      <c r="B2" s="4">
        <v>0.25</v>
      </c>
      <c r="C2" s="4">
        <v>0.5</v>
      </c>
      <c r="D2" s="4">
        <v>0.75</v>
      </c>
      <c r="E2" s="4">
        <v>1</v>
      </c>
      <c r="F2" s="4">
        <v>1.25</v>
      </c>
      <c r="G2" s="5">
        <f>AVERAGE(B2:F2)</f>
        <v>0.75</v>
      </c>
    </row>
    <row r="3" spans="1:7" x14ac:dyDescent="0.25">
      <c r="A3" s="3" t="s">
        <v>7</v>
      </c>
      <c r="B3" s="4">
        <v>0.5</v>
      </c>
      <c r="C3" s="4">
        <v>1</v>
      </c>
      <c r="D3" s="4">
        <v>2</v>
      </c>
      <c r="E3" s="4">
        <v>3</v>
      </c>
      <c r="F3" s="4">
        <v>4</v>
      </c>
      <c r="G3" s="5">
        <f t="shared" ref="G3:G6" si="0">AVERAGE(B3:F3)</f>
        <v>2.1</v>
      </c>
    </row>
    <row r="4" spans="1:7" x14ac:dyDescent="0.25">
      <c r="A4" s="3" t="s">
        <v>8</v>
      </c>
      <c r="B4" s="4">
        <v>0.75</v>
      </c>
      <c r="C4" s="4">
        <v>2</v>
      </c>
      <c r="D4" s="4">
        <v>3</v>
      </c>
      <c r="E4" s="4">
        <v>4</v>
      </c>
      <c r="F4" s="4">
        <v>5</v>
      </c>
      <c r="G4" s="5">
        <f t="shared" si="0"/>
        <v>2.95</v>
      </c>
    </row>
    <row r="5" spans="1:7" x14ac:dyDescent="0.25">
      <c r="A5" s="3" t="s">
        <v>9</v>
      </c>
      <c r="B5" s="4">
        <v>1</v>
      </c>
      <c r="C5" s="4">
        <v>2</v>
      </c>
      <c r="D5" s="4">
        <v>3</v>
      </c>
      <c r="E5" s="4">
        <v>4</v>
      </c>
      <c r="F5" s="4">
        <v>5</v>
      </c>
      <c r="G5" s="5">
        <f t="shared" si="0"/>
        <v>3</v>
      </c>
    </row>
    <row r="6" spans="1:7" x14ac:dyDescent="0.25">
      <c r="A6" s="3" t="s">
        <v>5</v>
      </c>
      <c r="B6" s="5">
        <f>AVERAGE(B2:B5)</f>
        <v>0.625</v>
      </c>
      <c r="C6" s="5">
        <f t="shared" ref="C6:F6" si="1">AVERAGE(C2:C5)</f>
        <v>1.375</v>
      </c>
      <c r="D6" s="5">
        <f t="shared" si="1"/>
        <v>2.1875</v>
      </c>
      <c r="E6" s="5">
        <f t="shared" si="1"/>
        <v>3</v>
      </c>
      <c r="F6" s="5">
        <f t="shared" si="1"/>
        <v>3.8125</v>
      </c>
      <c r="G6" s="5">
        <f t="shared" si="0"/>
        <v>2.2000000000000002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>
      <selection activeCell="F9" sqref="F9"/>
    </sheetView>
  </sheetViews>
  <sheetFormatPr defaultRowHeight="15" x14ac:dyDescent="0.25"/>
  <cols>
    <col min="1" max="1" width="14" customWidth="1"/>
    <col min="2" max="7" width="10" customWidth="1"/>
  </cols>
  <sheetData>
    <row r="1" spans="1:7" ht="20.100000000000001" customHeight="1" x14ac:dyDescent="0.25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3" t="s">
        <v>6</v>
      </c>
      <c r="B2" s="4">
        <v>0.25</v>
      </c>
      <c r="C2" s="4">
        <v>0.5</v>
      </c>
      <c r="D2" s="4">
        <v>0.75</v>
      </c>
      <c r="E2" s="4">
        <v>1</v>
      </c>
      <c r="F2" s="4">
        <v>1.25</v>
      </c>
      <c r="G2" s="5">
        <f>AVERAGE(B2:F2)</f>
        <v>0.75</v>
      </c>
    </row>
    <row r="3" spans="1:7" x14ac:dyDescent="0.25">
      <c r="A3" s="3" t="s">
        <v>7</v>
      </c>
      <c r="B3" s="4">
        <v>0.5</v>
      </c>
      <c r="C3" s="4">
        <v>1</v>
      </c>
      <c r="D3" s="4">
        <v>2</v>
      </c>
      <c r="E3" s="4">
        <v>3</v>
      </c>
      <c r="F3" s="4">
        <v>4</v>
      </c>
      <c r="G3" s="5">
        <f t="shared" ref="G3:G6" si="0">AVERAGE(B3:F3)</f>
        <v>2.1</v>
      </c>
    </row>
    <row r="4" spans="1:7" x14ac:dyDescent="0.25">
      <c r="A4" s="3" t="s">
        <v>8</v>
      </c>
      <c r="B4" s="4">
        <v>0.75</v>
      </c>
      <c r="C4" s="4">
        <v>2</v>
      </c>
      <c r="D4" s="4">
        <v>3</v>
      </c>
      <c r="E4" s="4">
        <v>4</v>
      </c>
      <c r="F4" s="4">
        <v>5</v>
      </c>
      <c r="G4" s="5">
        <f t="shared" si="0"/>
        <v>2.95</v>
      </c>
    </row>
    <row r="5" spans="1:7" x14ac:dyDescent="0.25">
      <c r="A5" s="3" t="s">
        <v>9</v>
      </c>
      <c r="B5" s="4">
        <v>1</v>
      </c>
      <c r="C5" s="4">
        <v>2</v>
      </c>
      <c r="D5" s="4">
        <v>3</v>
      </c>
      <c r="E5" s="4">
        <v>4</v>
      </c>
      <c r="F5" s="4">
        <v>5</v>
      </c>
      <c r="G5" s="5">
        <f t="shared" si="0"/>
        <v>3</v>
      </c>
    </row>
    <row r="6" spans="1:7" x14ac:dyDescent="0.25">
      <c r="A6" s="3" t="s">
        <v>5</v>
      </c>
      <c r="B6" s="5">
        <f>AVERAGE(B2:B5)</f>
        <v>0.625</v>
      </c>
      <c r="C6" s="5">
        <f t="shared" ref="C6:F6" si="1">AVERAGE(C2:C5)</f>
        <v>1.375</v>
      </c>
      <c r="D6" s="5">
        <f t="shared" si="1"/>
        <v>2.1875</v>
      </c>
      <c r="E6" s="5">
        <f t="shared" si="1"/>
        <v>3</v>
      </c>
      <c r="F6" s="5">
        <f t="shared" si="1"/>
        <v>3.8125</v>
      </c>
      <c r="G6" s="5">
        <f t="shared" si="0"/>
        <v>2.2000000000000002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workbookViewId="0">
      <selection activeCell="J13" sqref="J13"/>
    </sheetView>
  </sheetViews>
  <sheetFormatPr defaultRowHeight="15" x14ac:dyDescent="0.25"/>
  <cols>
    <col min="1" max="1" width="14" customWidth="1"/>
    <col min="2" max="7" width="10" customWidth="1"/>
  </cols>
  <sheetData>
    <row r="1" spans="1:7" ht="20.100000000000001" customHeight="1" x14ac:dyDescent="0.25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3" t="s">
        <v>6</v>
      </c>
      <c r="B2" s="4">
        <v>0.1</v>
      </c>
      <c r="C2" s="4">
        <v>0.3</v>
      </c>
      <c r="D2" s="4">
        <v>0.5</v>
      </c>
      <c r="E2" s="4">
        <v>0.8</v>
      </c>
      <c r="F2" s="4">
        <v>0.1</v>
      </c>
      <c r="G2" s="5">
        <f>AVERAGE(B2:F2)</f>
        <v>0.36000000000000004</v>
      </c>
    </row>
    <row r="3" spans="1:7" x14ac:dyDescent="0.25">
      <c r="A3" s="3" t="s">
        <v>7</v>
      </c>
      <c r="B3" s="4">
        <v>0.2</v>
      </c>
      <c r="C3" s="4">
        <v>0.35</v>
      </c>
      <c r="D3" s="4">
        <v>0.65</v>
      </c>
      <c r="E3" s="4">
        <v>0.95</v>
      </c>
      <c r="F3" s="4">
        <v>0.11</v>
      </c>
      <c r="G3" s="5">
        <f t="shared" ref="G3:G5" si="0">AVERAGE(B3:F3)</f>
        <v>0.45200000000000007</v>
      </c>
    </row>
    <row r="4" spans="1:7" x14ac:dyDescent="0.25">
      <c r="A4" s="3" t="s">
        <v>8</v>
      </c>
      <c r="B4" s="4">
        <v>0.25</v>
      </c>
      <c r="C4" s="4">
        <v>0.35</v>
      </c>
      <c r="D4" s="4">
        <v>0.7</v>
      </c>
      <c r="E4" s="4">
        <v>0.95</v>
      </c>
      <c r="F4" s="4">
        <v>1.25</v>
      </c>
      <c r="G4" s="5">
        <f t="shared" si="0"/>
        <v>0.7</v>
      </c>
    </row>
    <row r="5" spans="1:7" x14ac:dyDescent="0.25">
      <c r="A5" s="3" t="s">
        <v>9</v>
      </c>
      <c r="B5" s="4">
        <v>0.25</v>
      </c>
      <c r="C5" s="4">
        <v>0.35</v>
      </c>
      <c r="D5" s="4">
        <v>0.75</v>
      </c>
      <c r="E5" s="4">
        <v>1.05</v>
      </c>
      <c r="F5" s="4">
        <v>1.45</v>
      </c>
      <c r="G5" s="5">
        <f t="shared" si="0"/>
        <v>0.77000000000000013</v>
      </c>
    </row>
    <row r="6" spans="1:7" x14ac:dyDescent="0.25">
      <c r="A6" s="3" t="s">
        <v>5</v>
      </c>
      <c r="B6" s="5">
        <f>AVERAGE(B2:B5)</f>
        <v>0.2</v>
      </c>
      <c r="C6" s="5">
        <f t="shared" ref="C6:F6" si="1">AVERAGE(C2:C5)</f>
        <v>0.33749999999999997</v>
      </c>
      <c r="D6" s="5">
        <f t="shared" si="1"/>
        <v>0.64999999999999991</v>
      </c>
      <c r="E6" s="5">
        <f t="shared" si="1"/>
        <v>0.9375</v>
      </c>
      <c r="F6" s="5">
        <f t="shared" si="1"/>
        <v>0.72750000000000004</v>
      </c>
      <c r="G6" s="5">
        <f>AVERAGE(B6:F6)</f>
        <v>0.57050000000000001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workbookViewId="0">
      <selection activeCell="G8" sqref="G8"/>
    </sheetView>
  </sheetViews>
  <sheetFormatPr defaultRowHeight="15" x14ac:dyDescent="0.25"/>
  <cols>
    <col min="1" max="1" width="14" customWidth="1"/>
    <col min="2" max="7" width="10" customWidth="1"/>
  </cols>
  <sheetData>
    <row r="1" spans="1:7" ht="20.100000000000001" customHeight="1" x14ac:dyDescent="0.25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3" t="s">
        <v>6</v>
      </c>
      <c r="B2" s="4">
        <v>0.1</v>
      </c>
      <c r="C2" s="4">
        <v>0.3</v>
      </c>
      <c r="D2" s="4">
        <v>0.5</v>
      </c>
      <c r="E2" s="4">
        <v>0.8</v>
      </c>
      <c r="F2" s="4">
        <v>0.1</v>
      </c>
      <c r="G2" s="5">
        <f>AVERAGE(B2:F2)</f>
        <v>0.36000000000000004</v>
      </c>
    </row>
    <row r="3" spans="1:7" x14ac:dyDescent="0.25">
      <c r="A3" s="3" t="s">
        <v>7</v>
      </c>
      <c r="B3" s="4">
        <v>0.2</v>
      </c>
      <c r="C3" s="4">
        <v>0.35</v>
      </c>
      <c r="D3" s="4">
        <v>0.65</v>
      </c>
      <c r="E3" s="4">
        <v>0.95</v>
      </c>
      <c r="F3" s="4">
        <v>0.11</v>
      </c>
      <c r="G3" s="5">
        <f t="shared" ref="G3:G5" si="0">AVERAGE(B3:F3)</f>
        <v>0.45200000000000007</v>
      </c>
    </row>
    <row r="4" spans="1:7" x14ac:dyDescent="0.25">
      <c r="A4" s="3" t="s">
        <v>8</v>
      </c>
      <c r="B4" s="4">
        <v>0.25</v>
      </c>
      <c r="C4" s="4">
        <v>0.35</v>
      </c>
      <c r="D4" s="4">
        <v>0.7</v>
      </c>
      <c r="E4" s="4">
        <v>0.95</v>
      </c>
      <c r="F4" s="4">
        <v>1.25</v>
      </c>
      <c r="G4" s="5">
        <f t="shared" si="0"/>
        <v>0.7</v>
      </c>
    </row>
    <row r="5" spans="1:7" x14ac:dyDescent="0.25">
      <c r="A5" s="3" t="s">
        <v>9</v>
      </c>
      <c r="B5" s="4">
        <v>0.25</v>
      </c>
      <c r="C5" s="4">
        <v>0.35</v>
      </c>
      <c r="D5" s="4">
        <v>0.75</v>
      </c>
      <c r="E5" s="4">
        <v>1.05</v>
      </c>
      <c r="F5" s="4">
        <v>1.45</v>
      </c>
      <c r="G5" s="5">
        <f t="shared" si="0"/>
        <v>0.77000000000000013</v>
      </c>
    </row>
    <row r="6" spans="1:7" x14ac:dyDescent="0.25">
      <c r="A6" s="3" t="s">
        <v>5</v>
      </c>
      <c r="B6" s="5">
        <f>AVERAGE(B2:B5)</f>
        <v>0.2</v>
      </c>
      <c r="C6" s="5">
        <f t="shared" ref="C6:F6" si="1">AVERAGE(C2:C5)</f>
        <v>0.33749999999999997</v>
      </c>
      <c r="D6" s="5">
        <f t="shared" si="1"/>
        <v>0.64999999999999991</v>
      </c>
      <c r="E6" s="5">
        <f t="shared" si="1"/>
        <v>0.9375</v>
      </c>
      <c r="F6" s="5">
        <f t="shared" si="1"/>
        <v>0.72750000000000004</v>
      </c>
      <c r="G6" s="5">
        <f>AVERAGE(B6:F6)</f>
        <v>0.57050000000000001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"/>
  <sheetViews>
    <sheetView workbookViewId="0">
      <selection activeCell="B9" sqref="B9"/>
    </sheetView>
  </sheetViews>
  <sheetFormatPr defaultRowHeight="15" x14ac:dyDescent="0.25"/>
  <cols>
    <col min="1" max="1" width="14" customWidth="1"/>
    <col min="2" max="7" width="10" customWidth="1"/>
  </cols>
  <sheetData>
    <row r="1" spans="1:7" ht="20.100000000000001" customHeight="1" x14ac:dyDescent="0.25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3" t="s">
        <v>6</v>
      </c>
      <c r="B2" s="4">
        <v>0.1</v>
      </c>
      <c r="C2" s="4">
        <v>0.3</v>
      </c>
      <c r="D2" s="4">
        <v>0.5</v>
      </c>
      <c r="E2" s="4">
        <v>0.8</v>
      </c>
      <c r="F2" s="4">
        <v>0.1</v>
      </c>
      <c r="G2" s="5">
        <f>AVERAGE(B2:F2)</f>
        <v>0.36000000000000004</v>
      </c>
    </row>
    <row r="3" spans="1:7" x14ac:dyDescent="0.25">
      <c r="A3" s="3" t="s">
        <v>7</v>
      </c>
      <c r="B3" s="4">
        <v>0.2</v>
      </c>
      <c r="C3" s="4">
        <v>0.35</v>
      </c>
      <c r="D3" s="4">
        <v>0.65</v>
      </c>
      <c r="E3" s="4">
        <v>0.95</v>
      </c>
      <c r="F3" s="4">
        <v>0.11</v>
      </c>
      <c r="G3" s="5">
        <f t="shared" ref="G3:G5" si="0">AVERAGE(B3:F3)</f>
        <v>0.45200000000000007</v>
      </c>
    </row>
    <row r="4" spans="1:7" x14ac:dyDescent="0.25">
      <c r="A4" s="3" t="s">
        <v>8</v>
      </c>
      <c r="B4" s="4">
        <v>0.25</v>
      </c>
      <c r="C4" s="4">
        <v>0.35</v>
      </c>
      <c r="D4" s="4">
        <v>0.7</v>
      </c>
      <c r="E4" s="4">
        <v>0.95</v>
      </c>
      <c r="F4" s="4">
        <v>1.25</v>
      </c>
      <c r="G4" s="5">
        <f t="shared" si="0"/>
        <v>0.7</v>
      </c>
    </row>
    <row r="5" spans="1:7" x14ac:dyDescent="0.25">
      <c r="A5" s="3" t="s">
        <v>9</v>
      </c>
      <c r="B5" s="4">
        <v>0.25</v>
      </c>
      <c r="C5" s="4">
        <v>0.35</v>
      </c>
      <c r="D5" s="4">
        <v>0.75</v>
      </c>
      <c r="E5" s="4">
        <v>1.05</v>
      </c>
      <c r="F5" s="4">
        <v>1.45</v>
      </c>
      <c r="G5" s="5">
        <f t="shared" si="0"/>
        <v>0.77000000000000013</v>
      </c>
    </row>
    <row r="6" spans="1:7" x14ac:dyDescent="0.25">
      <c r="A6" s="3" t="s">
        <v>5</v>
      </c>
      <c r="B6" s="5">
        <f>AVERAGE(B2:B5)</f>
        <v>0.2</v>
      </c>
      <c r="C6" s="5">
        <f t="shared" ref="C6:F6" si="1">AVERAGE(C2:C5)</f>
        <v>0.33749999999999997</v>
      </c>
      <c r="D6" s="5">
        <f t="shared" si="1"/>
        <v>0.64999999999999991</v>
      </c>
      <c r="E6" s="5">
        <f t="shared" si="1"/>
        <v>0.9375</v>
      </c>
      <c r="F6" s="5">
        <f t="shared" si="1"/>
        <v>0.72750000000000004</v>
      </c>
      <c r="G6" s="5">
        <f>AVERAGE(B6:F6)</f>
        <v>0.57050000000000001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3"/>
  <sheetViews>
    <sheetView tabSelected="1" workbookViewId="0">
      <selection sqref="A1:D7"/>
    </sheetView>
  </sheetViews>
  <sheetFormatPr defaultRowHeight="15" x14ac:dyDescent="0.25"/>
  <cols>
    <col min="1" max="1" width="18" customWidth="1"/>
    <col min="2" max="2" width="20" customWidth="1"/>
    <col min="3" max="3" width="22" customWidth="1"/>
    <col min="4" max="4" width="20" customWidth="1"/>
  </cols>
  <sheetData>
    <row r="1" spans="1:4" ht="20.100000000000001" customHeight="1" x14ac:dyDescent="0.25">
      <c r="A1" s="2" t="s">
        <v>11</v>
      </c>
      <c r="B1" s="2" t="s">
        <v>12</v>
      </c>
      <c r="C1" s="2" t="s">
        <v>13</v>
      </c>
      <c r="D1" s="2" t="s">
        <v>14</v>
      </c>
    </row>
    <row r="2" spans="1:4" x14ac:dyDescent="0.25">
      <c r="A2" s="3" t="s">
        <v>15</v>
      </c>
      <c r="B2" s="4">
        <v>2000</v>
      </c>
      <c r="C2" s="4">
        <v>8000</v>
      </c>
      <c r="D2" s="4">
        <v>0</v>
      </c>
    </row>
    <row r="3" spans="1:4" x14ac:dyDescent="0.25">
      <c r="A3" s="3" t="s">
        <v>16</v>
      </c>
      <c r="B3" s="4">
        <v>200</v>
      </c>
      <c r="C3" s="4">
        <v>0</v>
      </c>
      <c r="D3" s="4">
        <v>314750</v>
      </c>
    </row>
    <row r="4" spans="1:4" x14ac:dyDescent="0.25">
      <c r="A4" s="3" t="s">
        <v>17</v>
      </c>
      <c r="B4" s="4">
        <v>400</v>
      </c>
      <c r="C4" s="4">
        <v>1600</v>
      </c>
      <c r="D4" s="4">
        <v>5000</v>
      </c>
    </row>
    <row r="5" spans="1:4" x14ac:dyDescent="0.25">
      <c r="A5" s="3" t="s">
        <v>18</v>
      </c>
      <c r="B5" s="4">
        <v>3000</v>
      </c>
      <c r="C5" s="4">
        <v>0</v>
      </c>
      <c r="D5" s="4">
        <v>600000</v>
      </c>
    </row>
    <row r="6" spans="1:4" x14ac:dyDescent="0.25">
      <c r="A6" s="3" t="s">
        <v>19</v>
      </c>
      <c r="B6" s="4">
        <v>2750</v>
      </c>
      <c r="C6" s="4">
        <v>0</v>
      </c>
      <c r="D6" s="4">
        <v>550000</v>
      </c>
    </row>
    <row r="7" spans="1:4" x14ac:dyDescent="0.25">
      <c r="A7" s="3" t="s">
        <v>20</v>
      </c>
      <c r="B7" s="4">
        <v>6000</v>
      </c>
      <c r="C7" s="4">
        <v>0</v>
      </c>
      <c r="D7" s="4">
        <v>1000000</v>
      </c>
    </row>
    <row r="9" spans="1:4" x14ac:dyDescent="0.25">
      <c r="A9" s="6"/>
      <c r="B9" s="7"/>
      <c r="C9" s="7"/>
      <c r="D9" s="7"/>
    </row>
    <row r="10" spans="1:4" x14ac:dyDescent="0.25">
      <c r="A10" s="8"/>
      <c r="B10" s="7"/>
      <c r="C10" s="7"/>
      <c r="D10" s="7"/>
    </row>
    <row r="11" spans="1:4" x14ac:dyDescent="0.25">
      <c r="A11" s="7"/>
      <c r="B11" s="7"/>
      <c r="C11" s="7"/>
      <c r="D11" s="7"/>
    </row>
    <row r="12" spans="1:4" x14ac:dyDescent="0.25">
      <c r="A12" s="7"/>
      <c r="B12" s="7"/>
      <c r="C12" s="7"/>
      <c r="D12" s="7"/>
    </row>
    <row r="13" spans="1:4" x14ac:dyDescent="0.25">
      <c r="A13" s="7"/>
      <c r="B13" s="7"/>
      <c r="C13" s="7"/>
      <c r="D13" s="7"/>
    </row>
  </sheetData>
  <pageMargins left="0.75" right="0.75" top="1" bottom="1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"/>
  <sheetViews>
    <sheetView workbookViewId="0">
      <selection activeCell="B4" sqref="B4:B9"/>
    </sheetView>
  </sheetViews>
  <sheetFormatPr defaultRowHeight="15" x14ac:dyDescent="0.25"/>
  <cols>
    <col min="1" max="1" width="29.85546875" bestFit="1" customWidth="1"/>
    <col min="2" max="2" width="9.140625" customWidth="1"/>
  </cols>
  <sheetData>
    <row r="1" spans="1:5" ht="30" customHeight="1" x14ac:dyDescent="0.25">
      <c r="A1" s="1" t="s">
        <v>22</v>
      </c>
      <c r="B1" s="11" t="s">
        <v>10</v>
      </c>
      <c r="C1" s="11"/>
      <c r="D1" s="11"/>
      <c r="E1" s="11"/>
    </row>
    <row r="2" spans="1:5" x14ac:dyDescent="0.25">
      <c r="A2" t="s">
        <v>23</v>
      </c>
      <c r="B2" s="9" t="s">
        <v>21</v>
      </c>
      <c r="C2" s="10"/>
      <c r="D2" s="10"/>
      <c r="E2" s="10"/>
    </row>
    <row r="4" spans="1:5" x14ac:dyDescent="0.25">
      <c r="A4" t="s">
        <v>28</v>
      </c>
      <c r="B4" t="s">
        <v>25</v>
      </c>
    </row>
    <row r="5" spans="1:5" x14ac:dyDescent="0.25">
      <c r="B5" t="s">
        <v>24</v>
      </c>
    </row>
    <row r="6" spans="1:5" x14ac:dyDescent="0.25">
      <c r="B6" t="s">
        <v>26</v>
      </c>
    </row>
    <row r="7" spans="1:5" x14ac:dyDescent="0.25">
      <c r="B7" t="s">
        <v>27</v>
      </c>
    </row>
    <row r="8" spans="1:5" x14ac:dyDescent="0.25">
      <c r="B8" t="s">
        <v>27</v>
      </c>
    </row>
    <row r="9" spans="1:5" x14ac:dyDescent="0.25">
      <c r="B9" t="s">
        <v>27</v>
      </c>
    </row>
  </sheetData>
  <mergeCells count="2">
    <mergeCell ref="B2:E2"/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MainCampus</vt:lpstr>
      <vt:lpstr>ShoppingCenter</vt:lpstr>
      <vt:lpstr>StudentHousing</vt:lpstr>
      <vt:lpstr>NorthBoundary</vt:lpstr>
      <vt:lpstr>SouthBoundary</vt:lpstr>
      <vt:lpstr>EastBoundary</vt:lpstr>
      <vt:lpstr>AttractionParameters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E Newport</dc:creator>
  <cp:lastModifiedBy>Samuel Newport</cp:lastModifiedBy>
  <dcterms:created xsi:type="dcterms:W3CDTF">2026-02-08T19:07:49Z</dcterms:created>
  <dcterms:modified xsi:type="dcterms:W3CDTF">2026-03-29T13:06:42Z</dcterms:modified>
</cp:coreProperties>
</file>